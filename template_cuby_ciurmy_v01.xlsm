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ADAPTER\adapter_vba\"/>
    </mc:Choice>
  </mc:AlternateContent>
  <bookViews>
    <workbookView xWindow="0" yWindow="75" windowWidth="20730" windowHeight="11760"/>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calcMode="manual"/>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<sst xmlns="http://schemas.openxmlformats.org/spreadsheetml/2006/main" count="198" uniqueCount="81">
  <si>
    <t>gian</t>
  </si>
  <si>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</si>
  <si>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</si>
  <si>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</si>
  <si>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</si>
  <si>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</si>
  <si>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</si>
  <si>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</si>
  <si>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</si>
  <si>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</si>
  <si>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</si>
  <si>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</si>
  <si>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</si>
  <si>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</si>
  <si>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</si>
  <si>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</si>
  <si>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</si>
  <si>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</si>
  <si>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</si>
  <si>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</si>
  <si>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</si>
  <si>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</si>
  <si>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</si>
  <si>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</si>
  <si>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</si>
  <si>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</si>
  <si>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</si>
  <si>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</si>
  <si>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</si>
  <si>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</si>
  <si>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</si>
  <si>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</si>
  <si>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</si>
  <si>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roberto</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</si>
  <si>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</si>
  <si>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</si>
  <si>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</si>
  <si>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</si>
  <si>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</si>
  <si>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</si>
  <si>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</si>
  <si>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</si>
  <si>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</si>
  <si>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</si>
  <si>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</si>
  <si>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</si>
  <si>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</si>
  <si>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</si>
  <si>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</si>
  <si>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</si>
  <si>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</si>
  <si>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</si>
  <si>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</si>
  <si>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</si>
  <si>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</si>
  <si>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</si>
  <si>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</si>
  <si>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</si>
  <si>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</si>
  <si>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</si>
  <si>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</si>
  <si>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</si>
  <si>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</si>
  <si>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</si>
  <si>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</si>
  <si>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</si>
  <si>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</si>
  <si>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</si>
  <si>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</si>
  <si>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</si>
  <si>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</si>
  <si>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</si>
  <si>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</si>
  <si>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</si>
  <si>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</si>
  <si>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</si>
  <si>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</si>
  <si>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$C$9:$O$10</t>
  </si>
  <si>
    <t>new version of cuby is saved! (version with number:11)</t>
  </si>
  <si>
    <t>var num_input=8074324128;</t>
  </si>
  <si>
    <t>ciao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</si>
</sst>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1771649</xdr:colOff>
      <xdr:row>11</xdr:row>
      <xdr:rowOff>133350</xdr:rowOff>
    </xdr:from>
    <xdr:to>
      <xdr:col>6</xdr:col>
      <xdr:colOff>895350</xdr:colOff>
      <xdr:row>14</xdr:row>
      <xdr:rowOff>66675</xdr:rowOff>
    </xdr:to>
    <xdr:sp macro="" textlink="">
      <xdr:nvSpPr>
        <xdr:cNvPr id="4" name="Rettangolo 3"/>
        <xdr:cNvSpPr/>
      </xdr:nvSpPr>
      <xdr:spPr>
        <a:xfrm>
          <a:off x="8210549" y="12763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8</xdr:row>
      <xdr:rowOff>85725</xdr:rowOff>
    </xdr:from>
    <xdr:to>
      <xdr:col>9</xdr:col>
      <xdr:colOff>866775</xdr:colOff>
      <xdr:row>10</xdr:row>
      <xdr:rowOff>104775</xdr:rowOff>
    </xdr:to>
    <xdr:cxnSp macro="">
      <xdr:nvCxnSpPr>
        <xdr:cNvPr id="5" name="Connettore 2 4"/>
        <xdr:cNvCxnSpPr/>
      </xdr:nvCxnSpPr>
      <xdr:spPr>
        <a:xfrm flipV="1">
          <a:off x="16192500" y="16097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"Make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7</xdr:col>
      <xdr:colOff>666750</xdr:colOff>
      <xdr:row>1</xdr:row>
      <xdr:rowOff>180975</xdr:rowOff>
    </xdr:from>
    <xdr:to>
      <xdr:col>8</xdr:col>
      <xdr:colOff>257175</xdr:colOff>
      <xdr:row>9</xdr:row>
      <xdr:rowOff>114300</xdr:rowOff>
    </xdr:to>
    <xdr:cxnSp macro="">
      <xdr:nvCxnSpPr>
        <xdr:cNvPr id="16" name="Connettore 2 15"/>
        <xdr:cNvCxnSpPr/>
      </xdr:nvCxnSpPr>
      <xdr:spPr>
        <a:xfrm>
          <a:off x="12677775" y="371475"/>
          <a:ext cx="1438275" cy="145732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180975</xdr:colOff>
      <xdr:row>9</xdr:row>
      <xdr:rowOff>85725</xdr:rowOff>
    </xdr:from>
    <xdr:to>
      <xdr:col>6</xdr:col>
      <xdr:colOff>561975</xdr:colOff>
      <xdr:row>11</xdr:row>
      <xdr:rowOff>104775</xdr:rowOff>
    </xdr:to>
    <xdr:cxnSp macro="">
      <xdr:nvCxnSpPr>
        <xdr:cNvPr id="9" name="Connettore 2 8"/>
        <xdr:cNvCxnSpPr/>
      </xdr:nvCxnSpPr>
      <xdr:spPr>
        <a:xfrm flipV="1">
          <a:off x="10344150" y="18002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tabSelected="1" workbookViewId="0">
      <selection activeCell="C25" sqref="C25"/>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4</v>
      </c>
      <c r="C2" s="12" t="s">
        <v>73</v>
      </c>
    </row>
    <row r="3" spans="2:102" x14ac:dyDescent="0.25">
      <c r="B3" s="21" t="s">
        <v>69</v>
      </c>
      <c r="C3" s="15" t="s">
        <v>78</v>
      </c>
    </row>
    <row r="4" spans="2:102" x14ac:dyDescent="0.25">
      <c r="B4" s="21" t="s">
        <v>70</v>
      </c>
      <c r="C4" s="15">
        <v>3</v>
      </c>
    </row>
    <row r="5" spans="2:102" x14ac:dyDescent="0.25">
      <c r="B5" s="21" t="s">
        <v>71</v>
      </c>
      <c r="C5" s="15" t="s">
        <v>77</v>
      </c>
    </row>
    <row r="8" spans="2:102" x14ac:dyDescent="0.25">
      <c r="B8" s="21" t="s">
        <v>5</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6</v>
      </c>
      <c r="C9" s="4" t="s">
        <v>7</v>
      </c>
      <c r="D9" s="4" t="s">
        <v>7</v>
      </c>
      <c r="E9" s="4" t="s">
        <v>7</v>
      </c>
      <c r="F9" s="4" t="s">
        <v>7</v>
      </c>
      <c r="G9" s="4" t="s">
        <v>7</v>
      </c>
      <c r="H9" s="4" t="s">
        <v>7</v>
      </c>
      <c r="I9" s="4" t="s">
        <v>7</v>
      </c>
      <c r="J9" s="4" t="s">
        <v>7</v>
      </c>
      <c r="K9" s="4" t="s">
        <v>7</v>
      </c>
      <c r="L9" s="4" t="s">
        <v>7</v>
      </c>
      <c r="M9" s="4" t="s">
        <v>7</v>
      </c>
      <c r="N9" s="4" t="s">
        <v>7</v>
      </c>
      <c r="O9" s="4" t="s">
        <v>7</v>
      </c>
      <c r="P9" s="4" t="s">
        <v>7</v>
      </c>
      <c r="Q9" s="4" t="s">
        <v>7</v>
      </c>
      <c r="R9" s="4" t="s">
        <v>7</v>
      </c>
      <c r="S9" s="4" t="s">
        <v>7</v>
      </c>
      <c r="T9" s="4" t="s">
        <v>7</v>
      </c>
      <c r="U9" s="4" t="s">
        <v>7</v>
      </c>
      <c r="V9" s="4" t="s">
        <v>7</v>
      </c>
      <c r="W9" s="4" t="s">
        <v>7</v>
      </c>
      <c r="X9" s="4" t="s">
        <v>7</v>
      </c>
      <c r="Y9" s="4" t="s">
        <v>7</v>
      </c>
      <c r="Z9" s="4" t="s">
        <v>7</v>
      </c>
      <c r="AA9" s="4" t="s">
        <v>7</v>
      </c>
      <c r="AB9" s="4" t="s">
        <v>7</v>
      </c>
      <c r="AC9" s="4" t="s">
        <v>7</v>
      </c>
      <c r="AD9" s="4" t="s">
        <v>7</v>
      </c>
      <c r="AE9" s="4" t="s">
        <v>7</v>
      </c>
      <c r="AF9" s="4" t="s">
        <v>7</v>
      </c>
      <c r="AG9" s="4" t="s">
        <v>7</v>
      </c>
      <c r="AH9" s="4" t="s">
        <v>7</v>
      </c>
      <c r="AI9" s="4" t="s">
        <v>7</v>
      </c>
      <c r="AJ9" s="4" t="s">
        <v>7</v>
      </c>
      <c r="AK9" s="4" t="s">
        <v>7</v>
      </c>
      <c r="AL9" s="4" t="s">
        <v>7</v>
      </c>
      <c r="AM9" s="4" t="s">
        <v>7</v>
      </c>
      <c r="AN9" s="4" t="s">
        <v>7</v>
      </c>
      <c r="AO9" s="4" t="s">
        <v>7</v>
      </c>
      <c r="AP9" s="4" t="s">
        <v>7</v>
      </c>
      <c r="AQ9" s="4" t="s">
        <v>7</v>
      </c>
      <c r="AR9" s="4" t="s">
        <v>7</v>
      </c>
      <c r="AS9" s="4" t="s">
        <v>7</v>
      </c>
      <c r="AT9" s="4" t="s">
        <v>7</v>
      </c>
      <c r="AU9" s="4" t="s">
        <v>7</v>
      </c>
      <c r="AV9" s="4" t="s">
        <v>7</v>
      </c>
      <c r="AW9" s="4" t="s">
        <v>7</v>
      </c>
      <c r="AX9" s="4" t="s">
        <v>7</v>
      </c>
      <c r="AY9" s="4" t="s">
        <v>7</v>
      </c>
      <c r="AZ9" s="4" t="s">
        <v>7</v>
      </c>
      <c r="BA9" s="4" t="s">
        <v>7</v>
      </c>
      <c r="BB9" s="4" t="s">
        <v>7</v>
      </c>
      <c r="BC9" s="4" t="s">
        <v>7</v>
      </c>
      <c r="BD9" s="4" t="s">
        <v>7</v>
      </c>
      <c r="BE9" s="4" t="s">
        <v>7</v>
      </c>
      <c r="BF9" s="4" t="s">
        <v>7</v>
      </c>
      <c r="BG9" s="4" t="s">
        <v>7</v>
      </c>
      <c r="BH9" s="4" t="s">
        <v>7</v>
      </c>
      <c r="BI9" s="4" t="s">
        <v>7</v>
      </c>
      <c r="BJ9" s="4" t="s">
        <v>7</v>
      </c>
      <c r="BK9" s="4" t="s">
        <v>7</v>
      </c>
      <c r="BL9" s="4" t="s">
        <v>7</v>
      </c>
      <c r="BM9" s="4" t="s">
        <v>7</v>
      </c>
      <c r="BN9" s="4" t="s">
        <v>7</v>
      </c>
      <c r="BO9" s="4" t="s">
        <v>7</v>
      </c>
      <c r="BP9" s="4" t="s">
        <v>7</v>
      </c>
      <c r="BQ9" s="4" t="s">
        <v>7</v>
      </c>
      <c r="BR9" s="4" t="s">
        <v>7</v>
      </c>
      <c r="BS9" s="4" t="s">
        <v>7</v>
      </c>
      <c r="BT9" s="4" t="s">
        <v>7</v>
      </c>
      <c r="BU9" s="4" t="s">
        <v>7</v>
      </c>
      <c r="BV9" s="4" t="s">
        <v>7</v>
      </c>
      <c r="BW9" s="4" t="s">
        <v>7</v>
      </c>
      <c r="BX9" s="4" t="s">
        <v>7</v>
      </c>
      <c r="BY9" s="4" t="s">
        <v>7</v>
      </c>
      <c r="BZ9" s="4" t="s">
        <v>7</v>
      </c>
      <c r="CA9" s="4" t="s">
        <v>7</v>
      </c>
      <c r="CB9" s="4" t="s">
        <v>7</v>
      </c>
      <c r="CC9" s="4" t="s">
        <v>7</v>
      </c>
      <c r="CD9" s="4" t="s">
        <v>7</v>
      </c>
      <c r="CE9" s="4" t="s">
        <v>7</v>
      </c>
      <c r="CF9" s="4" t="s">
        <v>7</v>
      </c>
      <c r="CG9" s="4" t="s">
        <v>7</v>
      </c>
      <c r="CH9" s="4" t="s">
        <v>7</v>
      </c>
      <c r="CI9" s="4" t="s">
        <v>7</v>
      </c>
      <c r="CJ9" s="4" t="s">
        <v>7</v>
      </c>
      <c r="CK9" s="4" t="s">
        <v>7</v>
      </c>
      <c r="CL9" s="4" t="s">
        <v>7</v>
      </c>
      <c r="CM9" s="4" t="s">
        <v>7</v>
      </c>
      <c r="CN9" s="4" t="s">
        <v>7</v>
      </c>
      <c r="CO9" s="4" t="s">
        <v>7</v>
      </c>
      <c r="CP9" s="4" t="s">
        <v>7</v>
      </c>
      <c r="CQ9" s="4" t="s">
        <v>7</v>
      </c>
      <c r="CR9" s="4" t="s">
        <v>7</v>
      </c>
      <c r="CS9" s="4" t="s">
        <v>7</v>
      </c>
      <c r="CT9" s="4" t="s">
        <v>7</v>
      </c>
      <c r="CU9" s="4" t="s">
        <v>7</v>
      </c>
      <c r="CV9" s="4" t="s">
        <v>7</v>
      </c>
      <c r="CW9" s="4" t="s">
        <v>7</v>
      </c>
      <c r="CX9" s="4" t="s">
        <v>7</v>
      </c>
    </row>
    <row r="10" spans="2:102" x14ac:dyDescent="0.25">
      <c r="B10" s="16" t="s">
        <v>24</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24" spans="3:3" x14ac:dyDescent="0.25">
      <c r="C24" s="1" t="s">
        <v>80</v>
      </c>
    </row>
    <row r="33" spans="3:102" s="20" customFormat="1" x14ac:dyDescent="0.25">
      <c r="C33" s="20">
        <v>10674650206</v>
      </c>
      <c r="D33" s="20">
        <v>8074324128</v>
      </c>
      <c r="E33" s="20">
        <v>41655018904</v>
      </c>
      <c r="F33" s="20">
        <v>44832045777</v>
      </c>
      <c r="G33" s="20">
        <v>4850924417</v>
      </c>
      <c r="H33" s="20">
        <v>14989840580</v>
      </c>
      <c r="I33" s="20">
        <v>20155329314</v>
      </c>
      <c r="J33" s="20">
        <v>15197978911</v>
      </c>
      <c r="K33" s="20">
        <v>40885907768</v>
      </c>
      <c r="L33" s="20">
        <v>20708239362</v>
      </c>
      <c r="M33" s="20">
        <v>2452984393</v>
      </c>
      <c r="N33" s="20">
        <v>41913518973</v>
      </c>
      <c r="O33" s="20">
        <v>43384349000</v>
      </c>
      <c r="P33" s="20">
        <v>2299458633</v>
      </c>
      <c r="Q33" s="20">
        <v>35613599886</v>
      </c>
      <c r="R33" s="20">
        <v>33686092354</v>
      </c>
      <c r="S33" s="20">
        <v>34385203304</v>
      </c>
      <c r="T33" s="20">
        <v>9637529474</v>
      </c>
      <c r="U33" s="20">
        <v>11864603557</v>
      </c>
      <c r="V33" s="20">
        <v>16505563915</v>
      </c>
      <c r="W33" s="20">
        <v>38061789900</v>
      </c>
      <c r="X33" s="20">
        <v>42901260783</v>
      </c>
      <c r="Y33" s="20">
        <v>17726633593</v>
      </c>
      <c r="Z33" s="20">
        <v>15319830500</v>
      </c>
      <c r="AA33" s="20">
        <v>42065320180</v>
      </c>
      <c r="AB33" s="20">
        <v>19534900020</v>
      </c>
      <c r="AC33" s="20">
        <v>27767601376</v>
      </c>
      <c r="AD33" s="20">
        <v>17107901142</v>
      </c>
      <c r="AE33" s="20">
        <v>38859612985</v>
      </c>
      <c r="AF33" s="20">
        <v>8254901348</v>
      </c>
      <c r="AG33" s="20">
        <v>8548201429</v>
      </c>
      <c r="AH33" s="20">
        <v>12758131144</v>
      </c>
      <c r="AI33" s="20">
        <v>12866523370</v>
      </c>
      <c r="AJ33" s="20">
        <v>1819583999</v>
      </c>
      <c r="AK33" s="20">
        <v>1128806317</v>
      </c>
      <c r="AL33" s="20">
        <v>103269158</v>
      </c>
      <c r="AM33" s="20">
        <v>42760692</v>
      </c>
      <c r="AN33" s="20">
        <v>2208423953</v>
      </c>
      <c r="AO33" s="20">
        <v>793728318</v>
      </c>
      <c r="AP33" s="20">
        <v>719082748</v>
      </c>
      <c r="AQ33" s="20">
        <v>1053357208</v>
      </c>
      <c r="AR33" s="20">
        <v>139263516</v>
      </c>
      <c r="AS33" s="20">
        <v>166739015</v>
      </c>
      <c r="AT33" s="20">
        <v>1319877045</v>
      </c>
      <c r="AU33" s="20">
        <v>149504775</v>
      </c>
      <c r="AV33" s="20">
        <v>2287406530</v>
      </c>
      <c r="AW33" s="20">
        <v>175754692</v>
      </c>
      <c r="AX33" s="20">
        <v>384126372</v>
      </c>
      <c r="AY33" s="20">
        <v>712866181</v>
      </c>
      <c r="AZ33" s="20">
        <v>2224517019</v>
      </c>
      <c r="BA33" s="20">
        <v>10674650206</v>
      </c>
      <c r="BB33" s="20">
        <v>8074324128</v>
      </c>
      <c r="BC33" s="20">
        <v>41655018904</v>
      </c>
      <c r="BD33" s="20">
        <v>44832045777</v>
      </c>
      <c r="BE33" s="20">
        <v>4850924417</v>
      </c>
      <c r="BF33" s="20">
        <v>14989840580</v>
      </c>
      <c r="BG33" s="20">
        <v>20155329314</v>
      </c>
      <c r="BH33" s="20">
        <v>15197978911</v>
      </c>
      <c r="BI33" s="20">
        <v>40885907768</v>
      </c>
      <c r="BJ33" s="20">
        <v>20708239362</v>
      </c>
      <c r="BK33" s="20">
        <v>2452984393</v>
      </c>
      <c r="BL33" s="20">
        <v>41913518973</v>
      </c>
      <c r="BM33" s="20">
        <v>43384349000</v>
      </c>
      <c r="BN33" s="20">
        <v>2299458633</v>
      </c>
      <c r="BO33" s="20">
        <v>35613599886</v>
      </c>
      <c r="BP33" s="20">
        <v>33686092354</v>
      </c>
      <c r="BQ33" s="20">
        <v>34385203304</v>
      </c>
      <c r="BR33" s="20">
        <v>9637529474</v>
      </c>
      <c r="BS33" s="20">
        <v>11864603557</v>
      </c>
      <c r="BT33" s="20">
        <v>16505563915</v>
      </c>
      <c r="BU33" s="20">
        <v>38061789900</v>
      </c>
      <c r="BV33" s="20">
        <v>42901260783</v>
      </c>
      <c r="BW33" s="20">
        <v>17726633593</v>
      </c>
      <c r="BX33" s="20">
        <v>15319830500</v>
      </c>
      <c r="BY33" s="20">
        <v>42065320180</v>
      </c>
      <c r="BZ33" s="20">
        <v>19534900020</v>
      </c>
      <c r="CA33" s="20">
        <v>27767601376</v>
      </c>
      <c r="CB33" s="20">
        <v>17107901142</v>
      </c>
      <c r="CC33" s="20">
        <v>38859612985</v>
      </c>
      <c r="CD33" s="20">
        <v>8254901348</v>
      </c>
      <c r="CE33" s="20">
        <v>8548201429</v>
      </c>
      <c r="CF33" s="20">
        <v>12758131144</v>
      </c>
      <c r="CG33" s="20">
        <v>12866523370</v>
      </c>
      <c r="CH33" s="20">
        <v>1819583999</v>
      </c>
      <c r="CI33" s="20">
        <v>1128806317</v>
      </c>
      <c r="CJ33" s="20">
        <v>103269158</v>
      </c>
      <c r="CK33" s="20">
        <v>42760692</v>
      </c>
      <c r="CL33" s="20">
        <v>2208423953</v>
      </c>
      <c r="CM33" s="20">
        <v>793728318</v>
      </c>
      <c r="CN33" s="20">
        <v>719082748</v>
      </c>
      <c r="CO33" s="20">
        <v>1053357208</v>
      </c>
      <c r="CP33" s="20">
        <v>139263516</v>
      </c>
      <c r="CQ33" s="20">
        <v>166739015</v>
      </c>
      <c r="CR33" s="20">
        <v>1319877045</v>
      </c>
      <c r="CS33" s="20">
        <v>149504775</v>
      </c>
      <c r="CT33" s="20">
        <v>2287406530</v>
      </c>
      <c r="CU33" s="20">
        <v>175754692</v>
      </c>
      <c r="CV33" s="20">
        <v>384126372</v>
      </c>
      <c r="CW33" s="20">
        <v>712866181</v>
      </c>
      <c r="CX33" s="20">
        <v>2224517019</v>
      </c>
    </row>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56</v>
      </c>
      <c r="C2" s="5"/>
      <c r="D2" s="5"/>
      <c r="E2" s="5"/>
      <c r="F2" s="5"/>
      <c r="G2" s="5"/>
      <c r="H2" s="5"/>
      <c r="I2" s="5"/>
    </row>
    <row r="4" spans="2:9" x14ac:dyDescent="0.25">
      <c r="B4" s="19"/>
      <c r="D4" s="3" t="s">
        <v>59</v>
      </c>
    </row>
    <row r="5" spans="2:9" x14ac:dyDescent="0.25">
      <c r="B5" s="2"/>
      <c r="D5" s="3" t="s">
        <v>58</v>
      </c>
    </row>
    <row r="6" spans="2:9" x14ac:dyDescent="0.25">
      <c r="B6" s="17"/>
      <c r="D6" s="3" t="s">
        <v>57</v>
      </c>
    </row>
    <row r="7" spans="2:9" x14ac:dyDescent="0.25">
      <c r="B7" s="15"/>
      <c r="D7" s="3"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B35" sqref="B35"/>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74</v>
      </c>
      <c r="E2" s="25"/>
    </row>
    <row r="3" spans="2:1002" x14ac:dyDescent="0.25">
      <c r="D3" s="24" t="s">
        <v>4</v>
      </c>
      <c r="E3" s="18" t="str">
        <f>inputs!C2</f>
        <v>calc_prime_inputs_v1</v>
      </c>
    </row>
    <row r="4" spans="2:1002" x14ac:dyDescent="0.25">
      <c r="D4" s="24" t="s">
        <v>75</v>
      </c>
      <c r="E4" s="18" t="str">
        <f>inputs!C5</f>
        <v>$C$9:$O$10</v>
      </c>
    </row>
    <row r="5" spans="2:1002" x14ac:dyDescent="0.25">
      <c r="D5" s="24" t="s">
        <v>34</v>
      </c>
      <c r="E5" s="26">
        <f>'credentials &amp; setting purchase'!C19</f>
        <v>37</v>
      </c>
    </row>
    <row r="8" spans="2:1002" x14ac:dyDescent="0.25">
      <c r="B8" s="24" t="s">
        <v>35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16</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36</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37</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38</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39</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40</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41</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42</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43</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45</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46</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47</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49</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50</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51</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52</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53</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54</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55</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72" r:id="rId3" name="CommandButton2">
          <controlPr defaultSize="0" autoLine="0" autoPict="0" r:id="rId4">
            <anchor moveWithCells="1">
              <from>
                <xdr:col>1</xdr:col>
                <xdr:colOff>1781175</xdr:colOff>
                <xdr:row>0</xdr:row>
                <xdr:rowOff>171450</xdr:rowOff>
              </from>
              <to>
                <xdr:col>2</xdr:col>
                <xdr:colOff>1685925</xdr:colOff>
                <xdr:row>3</xdr:row>
                <xdr:rowOff>171450</xdr:rowOff>
              </to>
            </anchor>
          </controlPr>
        </control>
      </mc:Choice>
      <mc:Fallback>
        <control shapeId="7172" r:id="rId3" name="CommandButton2"/>
      </mc:Fallback>
    </mc:AlternateContent>
    <mc:AlternateContent xmlns:mc="http://schemas.openxmlformats.org/markup-compatibility/2006">
      <mc:Choice Requires="x14">
        <control shapeId="7169" r:id="rId5" name="CommandButton1">
          <controlPr defaultSize="0" autoLine="0" autoPict="0" r:id="rId6">
            <anchor moveWithCells="1">
              <from>
                <xdr:col>0</xdr:col>
                <xdr:colOff>200025</xdr:colOff>
                <xdr:row>0</xdr:row>
                <xdr:rowOff>152400</xdr:rowOff>
              </from>
              <to>
                <xdr:col>1</xdr:col>
                <xdr:colOff>1533525</xdr:colOff>
                <xdr:row>4</xdr:row>
                <xdr:rowOff>0</xdr:rowOff>
              </to>
            </anchor>
          </controlPr>
        </control>
      </mc:Choice>
      <mc:Fallback>
        <control shapeId="7169" r:id="rId5"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D7" sqref="D7"/>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21</v>
      </c>
      <c r="C2" s="9"/>
    </row>
    <row r="3" spans="2:15" x14ac:dyDescent="0.25">
      <c r="B3" s="7" t="s">
        <v>1</v>
      </c>
      <c r="C3" s="12" t="s">
        <v>0</v>
      </c>
      <c r="D3" s="1" t="s">
        <v>3</v>
      </c>
    </row>
    <row r="4" spans="2:15" x14ac:dyDescent="0.25">
      <c r="B4" s="7" t="s">
        <v>2</v>
      </c>
      <c r="C4" s="12" t="s">
        <v>33</v>
      </c>
      <c r="D4" s="1" t="s">
        <v>14</v>
      </c>
    </row>
    <row r="5" spans="2:15" x14ac:dyDescent="0.25">
      <c r="D5" s="11" t="s">
        <v>26</v>
      </c>
      <c r="E5" s="11"/>
      <c r="F5" s="11"/>
      <c r="G5" s="11"/>
      <c r="H5" s="11"/>
      <c r="I5" s="11"/>
      <c r="J5" s="11"/>
      <c r="K5" s="11"/>
    </row>
    <row r="6" spans="2:15" x14ac:dyDescent="0.25">
      <c r="B6" s="6" t="s">
        <v>12</v>
      </c>
      <c r="C6" s="5"/>
      <c r="D6" s="5"/>
      <c r="E6" s="5"/>
      <c r="F6" s="5"/>
      <c r="G6" s="5"/>
      <c r="H6" s="5"/>
      <c r="I6" s="5"/>
      <c r="J6" s="5"/>
      <c r="K6" s="5"/>
      <c r="L6" s="5"/>
      <c r="M6" s="5"/>
      <c r="N6" s="5"/>
      <c r="O6" s="5"/>
    </row>
    <row r="7" spans="2:15" x14ac:dyDescent="0.25">
      <c r="B7" s="7" t="s">
        <v>4</v>
      </c>
      <c r="C7" s="22" t="str">
        <f>inputs!C2</f>
        <v>calc_prime_inputs_v1</v>
      </c>
      <c r="D7" s="1" t="s">
        <v>61</v>
      </c>
    </row>
    <row r="8" spans="2:15" x14ac:dyDescent="0.25">
      <c r="B8" s="7" t="s">
        <v>22</v>
      </c>
      <c r="C8" s="15">
        <v>24</v>
      </c>
      <c r="D8" s="1" t="s">
        <v>65</v>
      </c>
    </row>
    <row r="9" spans="2:15" x14ac:dyDescent="0.25">
      <c r="B9" s="7" t="s">
        <v>8</v>
      </c>
      <c r="C9" s="12">
        <v>329</v>
      </c>
      <c r="D9" s="1" t="s">
        <v>9</v>
      </c>
    </row>
    <row r="10" spans="2:15" x14ac:dyDescent="0.25">
      <c r="B10" s="7" t="s">
        <v>13</v>
      </c>
      <c r="C10" s="12" t="s">
        <v>10</v>
      </c>
      <c r="D10" s="1" t="s">
        <v>11</v>
      </c>
    </row>
    <row r="12" spans="2:15" x14ac:dyDescent="0.25">
      <c r="B12" s="6" t="s">
        <v>19</v>
      </c>
      <c r="C12" s="5"/>
      <c r="D12" s="5"/>
      <c r="E12" s="5"/>
      <c r="F12" s="5"/>
      <c r="G12" s="5"/>
      <c r="H12" s="5"/>
      <c r="I12" s="5"/>
      <c r="J12" s="5"/>
      <c r="K12" s="5"/>
      <c r="L12" s="5"/>
      <c r="M12" s="5"/>
      <c r="N12" s="5"/>
      <c r="O12" s="5"/>
    </row>
    <row r="13" spans="2:15" x14ac:dyDescent="0.25">
      <c r="B13" s="7" t="s">
        <v>18</v>
      </c>
      <c r="C13" s="12">
        <v>2</v>
      </c>
      <c r="D13" s="1" t="s">
        <v>62</v>
      </c>
    </row>
    <row r="14" spans="2:15" x14ac:dyDescent="0.25">
      <c r="B14" s="7" t="s">
        <v>20</v>
      </c>
      <c r="C14" s="12">
        <v>60</v>
      </c>
      <c r="D14" s="1" t="s">
        <v>15</v>
      </c>
    </row>
    <row r="15" spans="2:15" x14ac:dyDescent="0.25">
      <c r="B15" s="7" t="s">
        <v>30</v>
      </c>
      <c r="C15" s="12">
        <v>1</v>
      </c>
      <c r="D15" s="1" t="s">
        <v>31</v>
      </c>
    </row>
    <row r="16" spans="2:15" x14ac:dyDescent="0.25">
      <c r="B16" s="7" t="s">
        <v>27</v>
      </c>
      <c r="C16" s="12"/>
      <c r="D16" s="1" t="s">
        <v>63</v>
      </c>
    </row>
    <row r="17" spans="2:4" x14ac:dyDescent="0.25">
      <c r="B17" s="7" t="s">
        <v>28</v>
      </c>
      <c r="C17" s="12"/>
      <c r="D17" s="1" t="s">
        <v>64</v>
      </c>
    </row>
    <row r="18" spans="2:4" x14ac:dyDescent="0.25">
      <c r="B18" s="7" t="s">
        <v>29</v>
      </c>
      <c r="C18" s="12"/>
      <c r="D18" s="1" t="s">
        <v>32</v>
      </c>
    </row>
    <row r="19" spans="2:4" x14ac:dyDescent="0.25">
      <c r="B19" s="7" t="s">
        <v>34</v>
      </c>
      <c r="C19" s="15">
        <v>37</v>
      </c>
      <c r="D19" s="1" t="s">
        <v>66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L21" sqref="K21:L21"/>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4</v>
      </c>
      <c r="C3" s="12" t="s">
        <v>73</v>
      </c>
    </row>
    <row r="4" spans="2:3" x14ac:dyDescent="0.25">
      <c r="B4" s="24" t="s">
        <v>76</v>
      </c>
      <c r="C4" s="12"/>
    </row>
    <row r="5" spans="2:3" x14ac:dyDescent="0.25">
      <c r="B5" s="28"/>
    </row>
    <row r="11" spans="2:3" s="27" customFormat="1" x14ac:dyDescent="0.25"/>
    <row r="13" spans="2:3" x14ac:dyDescent="0.25">
      <c r="B13" s="1" t="s">
        <v>79</v>
      </c>
    </row>
    <row r="14" spans="2:3" x14ac:dyDescent="0.25">
      <c r="B14" s="1" t="s">
        <v>68</v>
      </c>
    </row>
    <row r="15" spans="2:3" x14ac:dyDescent="0.25">
      <c r="B15" s="1" t="s">
        <v>68</v>
      </c>
    </row>
    <row r="16" spans="2:3" x14ac:dyDescent="0.25">
      <c r="B16" s="1" t="s">
        <v>68</v>
      </c>
    </row>
    <row r="17" spans="2:2" x14ac:dyDescent="0.25">
      <c r="B17" s="1" t="s">
        <v>68</v>
      </c>
    </row>
    <row r="18" spans="2:2" x14ac:dyDescent="0.25">
      <c r="B18" s="1" t="s">
        <v>68</v>
      </c>
    </row>
    <row r="19" spans="2:2" x14ac:dyDescent="0.25">
      <c r="B19" s="1" t="s">
        <v>68</v>
      </c>
    </row>
    <row r="20" spans="2:2" x14ac:dyDescent="0.25">
      <c r="B20" s="1" t="s">
        <v>68</v>
      </c>
    </row>
    <row r="21" spans="2:2" x14ac:dyDescent="0.25">
      <c r="B21" s="1" t="s">
        <v>68</v>
      </c>
    </row>
    <row r="22" spans="2:2" x14ac:dyDescent="0.25">
      <c r="B22" s="1" t="s">
        <v>68</v>
      </c>
    </row>
    <row r="23" spans="2:2" x14ac:dyDescent="0.25">
      <c r="B23" s="1" t="s">
        <v>68</v>
      </c>
    </row>
    <row r="24" spans="2:2" x14ac:dyDescent="0.25">
      <c r="B24" s="1" t="s">
        <v>68</v>
      </c>
    </row>
    <row r="25" spans="2:2" x14ac:dyDescent="0.25">
      <c r="B25" s="1" t="s">
        <v>68</v>
      </c>
    </row>
    <row r="26" spans="2:2" x14ac:dyDescent="0.25">
      <c r="B26" s="1" t="s">
        <v>17</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25</v>
      </c>
      <c r="C2" s="10"/>
    </row>
    <row r="3" spans="2:3" x14ac:dyDescent="0.25">
      <c r="B3" s="2" t="s">
        <v>8</v>
      </c>
      <c r="C3" s="18">
        <f>'credentials &amp; setting purchase'!C9</f>
        <v>329</v>
      </c>
    </row>
    <row r="4" spans="2:3" x14ac:dyDescent="0.25">
      <c r="B4" s="2" t="s">
        <v>22</v>
      </c>
      <c r="C4" s="13">
        <v>24</v>
      </c>
    </row>
    <row r="5" spans="2:3" x14ac:dyDescent="0.25">
      <c r="B5" s="2" t="s">
        <v>23</v>
      </c>
      <c r="C5" s="23" t="s">
        <v>67</v>
      </c>
    </row>
    <row r="6" spans="2:3" x14ac:dyDescent="0.25">
      <c r="B6" s="2" t="s">
        <v>72</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8" r:id="rId3" name="CommandButton2">
          <controlPr defaultSize="0" autoLine="0" r:id="rId4">
            <anchor moveWithCells="1">
              <from>
                <xdr:col>0</xdr:col>
                <xdr:colOff>581025</xdr:colOff>
                <xdr:row>10</xdr:row>
                <xdr:rowOff>171450</xdr:rowOff>
              </from>
              <to>
                <xdr:col>2</xdr:col>
                <xdr:colOff>685800</xdr:colOff>
                <xdr:row>14</xdr:row>
                <xdr:rowOff>114300</xdr:rowOff>
              </to>
            </anchor>
          </controlPr>
        </control>
      </mc:Choice>
      <mc:Fallback>
        <control shapeId="9218" r:id="rId3" name="CommandButton2"/>
      </mc:Fallback>
    </mc:AlternateContent>
    <mc:AlternateContent xmlns:mc="http://schemas.openxmlformats.org/markup-compatibility/2006">
      <mc:Choice Requires="x14">
        <control shapeId="9217" r:id="rId5" name="CommandButton1">
          <controlPr defaultSize="0" autoLine="0" r:id="rId6">
            <anchor moveWithCells="1">
              <from>
                <xdr:col>0</xdr:col>
                <xdr:colOff>600075</xdr:colOff>
                <xdr:row>6</xdr:row>
                <xdr:rowOff>152400</xdr:rowOff>
              </from>
              <to>
                <xdr:col>2</xdr:col>
                <xdr:colOff>666750</xdr:colOff>
                <xdr:row>10</xdr:row>
                <xdr:rowOff>95250</xdr:rowOff>
              </to>
            </anchor>
          </controlPr>
        </control>
      </mc:Choice>
      <mc:Fallback>
        <control shapeId="9217"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2015-11-24T17:58:58Z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